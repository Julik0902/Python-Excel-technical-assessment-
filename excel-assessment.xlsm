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k\Downloads\MapUp-Data-Assessment-F-main\MapUp-Data-Assessment-F-main\"/>
    </mc:Choice>
  </mc:AlternateContent>
  <xr:revisionPtr revIDLastSave="0" documentId="13_ncr:1_{74EA1479-10BE-4FE4-80A8-1D0315C984FC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20" l="1"/>
  <c r="D25" i="20"/>
  <c r="D26" i="20"/>
  <c r="D27" i="20"/>
  <c r="D28" i="20"/>
  <c r="D29" i="20"/>
  <c r="D30" i="20"/>
  <c r="D31" i="20"/>
  <c r="D32" i="20"/>
  <c r="D33" i="20"/>
  <c r="D34" i="20"/>
  <c r="D35" i="20"/>
  <c r="D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30" i="18" s="1"/>
  <c r="D13" i="18"/>
  <c r="D14" i="18"/>
  <c r="D15" i="18"/>
  <c r="D16" i="18"/>
  <c r="D17" i="18"/>
  <c r="D28" i="18" s="1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F30" i="18" l="1"/>
  <c r="F29" i="18"/>
  <c r="F28" i="18"/>
  <c r="E30" i="18"/>
  <c r="E28" i="18"/>
  <c r="E29" i="18"/>
  <c r="D29" i="18"/>
  <c r="C29" i="18"/>
  <c r="C28" i="18"/>
  <c r="C30" i="18"/>
  <c r="B30" i="18"/>
  <c r="B28" i="18"/>
  <c r="B29" i="18"/>
</calcChain>
</file>

<file path=xl/sharedStrings.xml><?xml version="1.0" encoding="utf-8"?>
<sst xmlns="http://schemas.openxmlformats.org/spreadsheetml/2006/main" count="410" uniqueCount="188">
  <si>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</si>
  <si>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</si>
  <si>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</si>
  <si>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</si>
  <si>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</si>
  <si>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</si>
  <si>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</si>
  <si>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</si>
  <si>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</si>
  <si>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</si>
  <si>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</si>
  <si>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</si>
  <si>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</si>
  <si>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</si>
  <si>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</si>
  <si>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</si>
  <si>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</si>
  <si>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</si>
  <si>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</si>
  <si>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</si>
  <si>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</si>
  <si>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</si>
  <si>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</si>
  <si>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</si>
  <si>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</si>
  <si>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</si>
  <si>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</si>
  <si>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</si>
  <si>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</si>
  <si>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</si>
  <si>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</si>
  <si>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</si>
  <si>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</si>
  <si>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</si>
  <si>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</si>
  <si>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</si>
  <si>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</si>
  <si>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</si>
  <si>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</si>
  <si>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</si>
  <si>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</si>
  <si>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</si>
  <si>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</si>
  <si>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</si>
  <si>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</si>
  <si>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</si>
  <si>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</si>
  <si>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</si>
  <si>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</si>
  <si>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</si>
  <si>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</si>
  <si>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</si>
  <si>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</si>
  <si>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</si>
  <si>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</si>
  <si>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</si>
  <si>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</si>
  <si>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</si>
  <si>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</si>
  <si>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</si>
  <si>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</si>
  <si>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</si>
  <si>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</si>
  <si>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</si>
  <si>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</si>
  <si>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</si>
  <si>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</si>
  <si>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</si>
  <si>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</si>
  <si>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</si>
  <si>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</si>
  <si>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</si>
  <si>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</si>
  <si>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</si>
  <si>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</si>
  <si>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</si>
  <si>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</si>
  <si>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</si>
  <si>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</si>
  <si>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</si>
  <si>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</si>
  <si>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</si>
  <si>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</si>
  <si>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</si>
  <si>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</si>
  <si>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</si>
  <si>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</si>
  <si>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</si>
  <si>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</si>
  <si>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</si>
  <si>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</si>
  <si>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</si>
  <si>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</si>
  <si>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</si>
  <si>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</si>
  <si>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</si>
  <si>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</si>
  <si>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</si>
  <si>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</si>
  <si>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</si>
  <si>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</si>
  <si>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</si>
  <si>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</si>
  <si>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</si>
  <si>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</si>
  <si>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</si>
  <si>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</si>
  <si>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</si>
  <si>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</si>
  <si>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</si>
  <si>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</si>
  <si>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</si>
  <si>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</si>
  <si>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</si>
  <si>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</si>
  <si>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</si>
  <si>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</si>
  <si>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</si>
  <si>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</si>
  <si>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</si>
  <si>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</si>
  <si>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</si>
  <si>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</si>
  <si>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</si>
  <si>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</si>
  <si>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</si>
  <si>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</si>
  <si>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</si>
  <si>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</si>
  <si>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</si>
  <si>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</si>
  <si>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</si>
  <si>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</si>
  <si>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</si>
  <si>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</si>
  <si>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</si>
  <si>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</si>
  <si>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</si>
  <si>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</si>
  <si>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date_formatted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</si>
  <si>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</si>
  <si>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</si>
  <si>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</si>
  <si>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</si>
  <si>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</si>
  <si>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</si>
  <si>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</si>
  <si>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</si>
  <si>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</si>
  <si>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</si>
  <si>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</si>
  <si>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</si>
  <si>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</si>
  <si>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</si>
  <si>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</si>
  <si>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</si>
  <si>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</si>
  <si>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</si>
  <si>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</si>
  <si>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</si>
  <si>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</si>
  <si>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</si>
  <si>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</si>
  <si>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</si>
  <si>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</si>
  <si>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</si>
  <si>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</si>
  <si>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</si>
  <si>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</si>
  <si>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</si>
  <si>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</si>
  <si>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</si>
  <si>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</si>
  <si>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</si>
  <si>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</si>
  <si>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</si>
  <si>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</si>
  <si>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</si>
  <si>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#=SUMIFS(C12:C21, C12:C21, "&lt;&gt;#N/A") + (COUNTIF(C12:C21, "#N/A") * 20)</t>
  </si>
  <si>
    <t xml:space="preserve">data-&gt;text to column-&gt;delimiter-&gt; type of delimiter-&gt;destination-&gt;finish </t>
  </si>
  <si>
    <t>I used a build-in function to separate each word with a delimiter - and then followed the above step to get the result</t>
  </si>
  <si>
    <t xml:space="preserve">first, we calculate the numeric value to drop the N/A value with the help of sumifs function then we count the N/A value with the help of countif function and multiply by 20 </t>
  </si>
  <si>
    <t>value_name_1</t>
  </si>
  <si>
    <t>value_name_2</t>
  </si>
  <si>
    <t>#=SUMIF(H:H, "&gt;20")</t>
  </si>
  <si>
    <t>#=TEXT(X12, "YYYY-MM-DD")</t>
  </si>
  <si>
    <t>#=VLOOKUP(VLOOKUP(A23,$M$9:$N$18,2,0),$A$9:$J$18,2,0)</t>
  </si>
  <si>
    <t>Inside vloolup value get the data from table b then we use this value to get the data from table a with the help of another vlookup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</si>
</sst>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00B050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rgb="FFFF0000"/>
        </patternFill>
      </fill>
    </dxf>
    <dxf>
      <font>
        <color theme="9" tint="-0.24994659260841701"/>
      </font>
      <fill>
        <patternFill patternType="solid">
          <fgColor theme="9" tint="-0.24994659260841701"/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7" t="s">
        <v>133</v>
      </c>
      <c r="B9" s="26" t="s">
        <v>131</v>
      </c>
    </row>
    <row r="10" spans="1:3" x14ac:dyDescent="0.3">
      <c r="A10" s="36" t="s">
        <v>134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Normal="100" workbookViewId="0">
      <pane ySplit="1" topLeftCell="A26" activePane="bottomLeft" state="frozen"/>
      <selection pane="bottomLeft" activeCell="E35" sqref="E35"/>
    </sheetView>
  </sheetViews>
  <sheetFormatPr defaultColWidth="9" defaultRowHeight="14.5" x14ac:dyDescent="0.35"/>
  <cols>
    <col min="1" max="1" width="18.3984375" style="1" bestFit="1" customWidth="1"/>
    <col min="2" max="2" width="6.3984375" style="1" bestFit="1" customWidth="1"/>
    <col min="3" max="3" width="9.69921875" style="1" bestFit="1" customWidth="1"/>
    <col min="4" max="4" width="10.59765625" style="24" bestFit="1" customWidth="1"/>
    <col min="5" max="5" width="8.796875" style="1" bestFit="1" customWidth="1"/>
    <col min="6" max="6" width="9.69921875" style="24" bestFit="1" customWidth="1"/>
    <col min="7" max="9" width="5.296875" style="1" bestFit="1" customWidth="1"/>
    <col min="10" max="12" width="7" style="1" bestFit="1" customWidth="1"/>
    <col min="13" max="15" width="6.3984375" style="1" bestFit="1" customWidth="1"/>
    <col min="16" max="18" width="5.296875" style="1" bestFit="1" customWidth="1"/>
    <col min="19" max="20" width="6.796875" style="1" bestFit="1" customWidth="1"/>
    <col min="21" max="23" width="5.3984375" style="1" bestFit="1" customWidth="1"/>
    <col min="24" max="24" width="11.09765625" style="1" bestFit="1" customWidth="1"/>
    <col min="25" max="25" width="18.19921875" style="1" bestFit="1" customWidth="1"/>
    <col min="26" max="26" width="15.796875" style="1" bestFit="1" customWidth="1"/>
    <col min="27" max="16384" width="9" style="1"/>
  </cols>
  <sheetData>
    <row r="1" spans="1:25" s="3" customFormat="1" ht="14.75" customHeight="1" x14ac:dyDescent="0.3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  <c r="Y1" s="3" t="s">
        <v>139</v>
      </c>
    </row>
    <row r="2" spans="1:25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 "YYYY-MM-DD")</f>
        <v>2023-05-05</v>
      </c>
    </row>
    <row r="3" spans="1:25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 "YYYY-MM-DD")</f>
        <v>2023-05-02</v>
      </c>
    </row>
    <row r="4" spans="1:25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:C40 E1:X40">
    <cfRule type="cellIs" dxfId="1" priority="3" operator="equal">
      <formula>-1</formula>
    </cfRule>
    <cfRule type="cellIs" dxfId="2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5">
      <c r="A2" s="2"/>
      <c r="B2" s="5" t="s">
        <v>122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5" t="s">
        <v>184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185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2" zoomScaleNormal="100" workbookViewId="0">
      <selection activeCell="D6" sqref="D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2" customFormat="1" ht="21" x14ac:dyDescent="0.5">
      <c r="A1" s="43" t="s">
        <v>55</v>
      </c>
      <c r="B1" s="42" t="s">
        <v>126</v>
      </c>
    </row>
    <row r="2" spans="1:7" s="42" customFormat="1" ht="21" x14ac:dyDescent="0.5">
      <c r="B2" s="42" t="s">
        <v>123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124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VLOOKUP(A6,Dataset!$A$1:$Y$40,7, FALSE)</f>
        <v>2.7</v>
      </c>
      <c r="C6" s="12">
        <f>VLOOKUP(A6,Dataset!$A$1:$Y$40,14, FALSE)</f>
        <v>7.6</v>
      </c>
      <c r="D6" s="12">
        <f>VLOOKUP(A6,Dataset!$A$1:$Y$40,18, FALSE)</f>
        <v>4.2</v>
      </c>
      <c r="E6" s="12">
        <f>VLOOKUP(A6,Dataset!$A$1:$Y$40,20, FALSE)</f>
        <v>8.9</v>
      </c>
      <c r="F6" s="8">
        <f>VLOOKUP(A6,Dataset!$A$1:$Y$40,22, FALSE)</f>
        <v>4.2</v>
      </c>
    </row>
    <row r="7" spans="1:7" ht="14.5" x14ac:dyDescent="0.35">
      <c r="A7" s="7" t="s">
        <v>4</v>
      </c>
      <c r="B7" s="12">
        <f>VLOOKUP(A7,Dataset!$A$1:$Y$40,7, FALSE)</f>
        <v>2.7</v>
      </c>
      <c r="C7" s="12">
        <f>VLOOKUP(A7,Dataset!$A$1:$Y$40,14, FALSE)</f>
        <v>7.6</v>
      </c>
      <c r="D7" s="12">
        <f>VLOOKUP(A7,Dataset!$A$1:$Y$40,18, FALSE)</f>
        <v>4.2</v>
      </c>
      <c r="E7" s="12">
        <f>VLOOKUP(A7,Dataset!$A$1:$Y$40,20, FALSE)</f>
        <v>8.9</v>
      </c>
      <c r="F7" s="8">
        <f>VLOOKUP(A7,Dataset!$A$1:$Y$40,22, FALSE)</f>
        <v>4.2</v>
      </c>
    </row>
    <row r="8" spans="1:7" ht="14.5" x14ac:dyDescent="0.35">
      <c r="A8" s="7" t="s">
        <v>7</v>
      </c>
      <c r="B8" s="12">
        <f>VLOOKUP(A8,Dataset!$A$1:$Y$40,7, FALSE)</f>
        <v>3.6</v>
      </c>
      <c r="C8" s="12">
        <f>VLOOKUP(A8,Dataset!$A$1:$Y$40,14, FALSE)</f>
        <v>11.1</v>
      </c>
      <c r="D8" s="12">
        <f>VLOOKUP(A8,Dataset!$A$1:$Y$40,18, FALSE)</f>
        <v>5.8</v>
      </c>
      <c r="E8" s="12">
        <f>VLOOKUP(A8,Dataset!$A$1:$Y$40,20, FALSE)</f>
        <v>12.2</v>
      </c>
      <c r="F8" s="8">
        <f>VLOOKUP(A8,Dataset!$A$1:$Y$40,22, FALSE)</f>
        <v>5.8</v>
      </c>
    </row>
    <row r="9" spans="1:7" ht="14.5" x14ac:dyDescent="0.35">
      <c r="A9" s="7" t="s">
        <v>8</v>
      </c>
      <c r="B9" s="12">
        <f>VLOOKUP(A9,Dataset!$A$1:$Y$40,7, FALSE)</f>
        <v>4.9000000000000004</v>
      </c>
      <c r="C9" s="12">
        <f>VLOOKUP(A9,Dataset!$A$1:$Y$40,14, FALSE)</f>
        <v>13.3</v>
      </c>
      <c r="D9" s="12">
        <f>VLOOKUP(A9,Dataset!$A$1:$Y$40,18, FALSE)</f>
        <v>8.1</v>
      </c>
      <c r="E9" s="12">
        <f>VLOOKUP(A9,Dataset!$A$1:$Y$40,20, FALSE)</f>
        <v>17</v>
      </c>
      <c r="F9" s="8">
        <f>VLOOKUP(A9,Dataset!$A$1:$Y$40,22, FALSE)</f>
        <v>8.1</v>
      </c>
    </row>
    <row r="10" spans="1:7" ht="14.5" x14ac:dyDescent="0.35">
      <c r="A10" s="7" t="s">
        <v>11</v>
      </c>
      <c r="B10" s="12">
        <f>VLOOKUP(A10,Dataset!$A$1:$Y$40,7, FALSE)</f>
        <v>9.4</v>
      </c>
      <c r="C10" s="12">
        <f>VLOOKUP(A10,Dataset!$A$1:$Y$40,14, FALSE)</f>
        <v>28.3</v>
      </c>
      <c r="D10" s="12">
        <f>VLOOKUP(A10,Dataset!$A$1:$Y$40,18, FALSE)</f>
        <v>16.100000000000001</v>
      </c>
      <c r="E10" s="12">
        <f>VLOOKUP(A10,Dataset!$A$1:$Y$40,20, FALSE)</f>
        <v>32.799999999999997</v>
      </c>
      <c r="F10" s="8">
        <f>VLOOKUP(A10,Dataset!$A$1:$Y$40,22, FALSE)</f>
        <v>16.100000000000001</v>
      </c>
    </row>
    <row r="11" spans="1:7" ht="14.5" x14ac:dyDescent="0.35">
      <c r="A11" s="7" t="s">
        <v>12</v>
      </c>
      <c r="B11" s="12">
        <f>VLOOKUP(A11,Dataset!$A$1:$Y$40,7, FALSE)</f>
        <v>11.6</v>
      </c>
      <c r="C11" s="12">
        <f>VLOOKUP(A11,Dataset!$A$1:$Y$40,14, FALSE)</f>
        <v>35.200000000000003</v>
      </c>
      <c r="D11" s="12">
        <f>VLOOKUP(A11,Dataset!$A$1:$Y$40,18, FALSE)</f>
        <v>21.3</v>
      </c>
      <c r="E11" s="12">
        <f>VLOOKUP(A11,Dataset!$A$1:$Y$40,20, FALSE)</f>
        <v>43</v>
      </c>
      <c r="F11" s="8">
        <f>VLOOKUP(A11,Dataset!$A$1:$Y$40,22, FALSE)</f>
        <v>21.3</v>
      </c>
    </row>
    <row r="12" spans="1:7" ht="14.5" x14ac:dyDescent="0.35">
      <c r="A12" s="7" t="s">
        <v>14</v>
      </c>
      <c r="B12" s="12">
        <f>VLOOKUP(A12,Dataset!$A$1:$Y$40,7, FALSE)</f>
        <v>18.399999999999999</v>
      </c>
      <c r="C12" s="12">
        <f>VLOOKUP(A12,Dataset!$A$1:$Y$40,14, FALSE)</f>
        <v>55.6</v>
      </c>
      <c r="D12" s="12">
        <f>VLOOKUP(A12,Dataset!$A$1:$Y$40,18, FALSE)</f>
        <v>33.799999999999997</v>
      </c>
      <c r="E12" s="12">
        <f>VLOOKUP(A12,Dataset!$A$1:$Y$40,20, FALSE)</f>
        <v>67.900000000000006</v>
      </c>
      <c r="F12" s="8">
        <f>VLOOKUP(A12,Dataset!$A$1:$Y$40,22, FALSE)</f>
        <v>33.799999999999997</v>
      </c>
    </row>
    <row r="13" spans="1:7" ht="14.5" x14ac:dyDescent="0.35">
      <c r="A13" s="7" t="s">
        <v>15</v>
      </c>
      <c r="B13" s="12">
        <f>VLOOKUP(A13,Dataset!$A$1:$Y$40,7, FALSE)</f>
        <v>0</v>
      </c>
      <c r="C13" s="12">
        <f>VLOOKUP(A13,Dataset!$A$1:$Y$40,14, FALSE)</f>
        <v>0</v>
      </c>
      <c r="D13" s="12">
        <f>VLOOKUP(A13,Dataset!$A$1:$Y$40,18, FALSE)</f>
        <v>0</v>
      </c>
      <c r="E13" s="12">
        <f>VLOOKUP(A13,Dataset!$A$1:$Y$40,20, FALSE)</f>
        <v>0</v>
      </c>
      <c r="F13" s="8">
        <f>VLOOKUP(A13,Dataset!$A$1:$Y$40,22, FALSE)</f>
        <v>0</v>
      </c>
    </row>
    <row r="14" spans="1:7" ht="14.5" x14ac:dyDescent="0.35">
      <c r="A14" s="7" t="s">
        <v>16</v>
      </c>
      <c r="B14" s="12">
        <f>VLOOKUP(A14,Dataset!$A$1:$Y$40,7, FALSE)</f>
        <v>21.9</v>
      </c>
      <c r="C14" s="12">
        <f>VLOOKUP(A14,Dataset!$A$1:$Y$40,14, FALSE)</f>
        <v>61.5</v>
      </c>
      <c r="D14" s="12">
        <f>VLOOKUP(A14,Dataset!$A$1:$Y$40,18, FALSE)</f>
        <v>40.1</v>
      </c>
      <c r="E14" s="12">
        <f>VLOOKUP(A14,Dataset!$A$1:$Y$40,20, FALSE)</f>
        <v>76.599999999999994</v>
      </c>
      <c r="F14" s="8">
        <f>VLOOKUP(A14,Dataset!$A$1:$Y$40,22, FALSE)</f>
        <v>40.1</v>
      </c>
    </row>
    <row r="15" spans="1:7" ht="14.5" x14ac:dyDescent="0.35">
      <c r="A15" s="7" t="s">
        <v>18</v>
      </c>
      <c r="B15" s="12">
        <f>VLOOKUP(A15,Dataset!$A$1:$Y$40,7, FALSE)</f>
        <v>26.8</v>
      </c>
      <c r="C15" s="12">
        <f>VLOOKUP(A15,Dataset!$A$1:$Y$40,14, FALSE)</f>
        <v>79.599999999999994</v>
      </c>
      <c r="D15" s="12">
        <f>VLOOKUP(A15,Dataset!$A$1:$Y$40,18, FALSE)</f>
        <v>47.9</v>
      </c>
      <c r="E15" s="12">
        <f>VLOOKUP(A15,Dataset!$A$1:$Y$40,20, FALSE)</f>
        <v>96.8</v>
      </c>
      <c r="F15" s="8">
        <f>VLOOKUP(A15,Dataset!$A$1:$Y$40,22, FALSE)</f>
        <v>47.9</v>
      </c>
    </row>
    <row r="16" spans="1:7" ht="14.5" x14ac:dyDescent="0.35">
      <c r="A16" s="7" t="s">
        <v>20</v>
      </c>
      <c r="B16" s="12">
        <f>VLOOKUP(A16,Dataset!$A$1:$Y$40,7, FALSE)</f>
        <v>28.5</v>
      </c>
      <c r="C16" s="12">
        <f>VLOOKUP(A16,Dataset!$A$1:$Y$40,14, FALSE)</f>
        <v>85.4</v>
      </c>
      <c r="D16" s="12">
        <f>VLOOKUP(A16,Dataset!$A$1:$Y$40,18, FALSE)</f>
        <v>52.3</v>
      </c>
      <c r="E16" s="12">
        <f>VLOOKUP(A16,Dataset!$A$1:$Y$40,20, FALSE)</f>
        <v>106.1</v>
      </c>
      <c r="F16" s="8">
        <f>VLOOKUP(A16,Dataset!$A$1:$Y$40,22, FALSE)</f>
        <v>52.3</v>
      </c>
    </row>
    <row r="17" spans="1:6" ht="14.5" x14ac:dyDescent="0.35">
      <c r="A17" s="7" t="s">
        <v>22</v>
      </c>
      <c r="B17" s="12">
        <f>VLOOKUP(A17,Dataset!$A$1:$Y$40,7, FALSE)</f>
        <v>30.7</v>
      </c>
      <c r="C17" s="12">
        <f>VLOOKUP(A17,Dataset!$A$1:$Y$40,14, FALSE)</f>
        <v>92.1</v>
      </c>
      <c r="D17" s="12">
        <f>VLOOKUP(A17,Dataset!$A$1:$Y$40,18, FALSE)</f>
        <v>57</v>
      </c>
      <c r="E17" s="12">
        <f>VLOOKUP(A17,Dataset!$A$1:$Y$40,20, FALSE)</f>
        <v>115.1</v>
      </c>
      <c r="F17" s="8">
        <f>VLOOKUP(A17,Dataset!$A$1:$Y$40,22, FALSE)</f>
        <v>57</v>
      </c>
    </row>
    <row r="18" spans="1:6" ht="14.5" x14ac:dyDescent="0.35">
      <c r="A18" s="7" t="s">
        <v>23</v>
      </c>
      <c r="B18" s="12">
        <f>VLOOKUP(A18,Dataset!$A$1:$Y$40,7, FALSE)</f>
        <v>33.799999999999997</v>
      </c>
      <c r="C18" s="12">
        <f>VLOOKUP(A18,Dataset!$A$1:$Y$40,14, FALSE)</f>
        <v>101.3</v>
      </c>
      <c r="D18" s="12">
        <f>VLOOKUP(A18,Dataset!$A$1:$Y$40,18, FALSE)</f>
        <v>61.4</v>
      </c>
      <c r="E18" s="12">
        <f>VLOOKUP(A18,Dataset!$A$1:$Y$40,20, FALSE)</f>
        <v>124.4</v>
      </c>
      <c r="F18" s="8">
        <f>VLOOKUP(A18,Dataset!$A$1:$Y$40,22, FALSE)</f>
        <v>61.4</v>
      </c>
    </row>
    <row r="19" spans="1:6" ht="14.5" x14ac:dyDescent="0.35">
      <c r="A19" s="7" t="s">
        <v>24</v>
      </c>
      <c r="B19" s="12">
        <f>VLOOKUP(A19,Dataset!$A$1:$Y$40,7, FALSE)</f>
        <v>34.700000000000003</v>
      </c>
      <c r="C19" s="12">
        <f>VLOOKUP(A19,Dataset!$A$1:$Y$40,14, FALSE)</f>
        <v>106.1</v>
      </c>
      <c r="D19" s="12">
        <f>VLOOKUP(A19,Dataset!$A$1:$Y$40,18, FALSE)</f>
        <v>63.6</v>
      </c>
      <c r="E19" s="12">
        <f>VLOOKUP(A19,Dataset!$A$1:$Y$40,20, FALSE)</f>
        <v>128.6</v>
      </c>
      <c r="F19" s="8">
        <f>VLOOKUP(A19,Dataset!$A$1:$Y$40,22, FALSE)</f>
        <v>63.6</v>
      </c>
    </row>
    <row r="20" spans="1:6" ht="14.5" x14ac:dyDescent="0.35">
      <c r="A20" s="7" t="s">
        <v>28</v>
      </c>
      <c r="B20" s="12">
        <f>VLOOKUP(A20,Dataset!$A$1:$Y$40,7, FALSE)</f>
        <v>0</v>
      </c>
      <c r="C20" s="12">
        <f>VLOOKUP(A20,Dataset!$A$1:$Y$40,14, FALSE)</f>
        <v>0</v>
      </c>
      <c r="D20" s="12">
        <f>VLOOKUP(A20,Dataset!$A$1:$Y$40,18, FALSE)</f>
        <v>0</v>
      </c>
      <c r="E20" s="12">
        <f>VLOOKUP(A20,Dataset!$A$1:$Y$40,20, FALSE)</f>
        <v>0</v>
      </c>
      <c r="F20" s="8">
        <f>VLOOKUP(A20,Dataset!$A$1:$Y$40,22, FALSE)</f>
        <v>0</v>
      </c>
    </row>
    <row r="21" spans="1:6" ht="14.5" x14ac:dyDescent="0.35">
      <c r="A21" s="7" t="s">
        <v>57</v>
      </c>
      <c r="B21" s="12">
        <f>VLOOKUP(A21,Dataset!$A$1:$Y$40,7, FALSE)</f>
        <v>41.3</v>
      </c>
      <c r="C21" s="12">
        <f>VLOOKUP(A21,Dataset!$A$1:$Y$40,14, FALSE)</f>
        <v>124.4</v>
      </c>
      <c r="D21" s="12">
        <f>VLOOKUP(A21,Dataset!$A$1:$Y$40,18, FALSE)</f>
        <v>75</v>
      </c>
      <c r="E21" s="12">
        <f>VLOOKUP(A21,Dataset!$A$1:$Y$40,20, FALSE)</f>
        <v>151.5</v>
      </c>
      <c r="F21" s="8">
        <f>VLOOKUP(A21,Dataset!$A$1:$Y$40,22, FALSE)</f>
        <v>75</v>
      </c>
    </row>
    <row r="22" spans="1:6" ht="14.5" x14ac:dyDescent="0.35">
      <c r="A22" s="7" t="s">
        <v>58</v>
      </c>
      <c r="B22" s="12">
        <f>VLOOKUP(A22,Dataset!$A$1:$Y$40,7, FALSE)</f>
        <v>-1</v>
      </c>
      <c r="C22" s="12">
        <f>VLOOKUP(A22,Dataset!$A$1:$Y$40,14, FALSE)</f>
        <v>-1</v>
      </c>
      <c r="D22" s="12">
        <f>VLOOKUP(A22,Dataset!$A$1:$Y$40,18, FALSE)</f>
        <v>-1</v>
      </c>
      <c r="E22" s="12">
        <f>VLOOKUP(A22,Dataset!$A$1:$Y$40,20, FALSE)</f>
        <v>-1</v>
      </c>
      <c r="F22" s="8">
        <f>VLOOKUP(A22,Dataset!$A$1:$Y$40,22, FALSE)</f>
        <v>-1</v>
      </c>
    </row>
    <row r="23" spans="1:6" ht="14.5" x14ac:dyDescent="0.35">
      <c r="A23" s="7" t="s">
        <v>31</v>
      </c>
      <c r="B23" s="12">
        <f>VLOOKUP(A23,Dataset!$A$1:$Y$40,7, FALSE)</f>
        <v>45</v>
      </c>
      <c r="C23" s="12">
        <f>VLOOKUP(A23,Dataset!$A$1:$Y$40,14, FALSE)</f>
        <v>133.4</v>
      </c>
      <c r="D23" s="12">
        <f>VLOOKUP(A23,Dataset!$A$1:$Y$40,18, FALSE)</f>
        <v>79.400000000000006</v>
      </c>
      <c r="E23" s="12">
        <f>VLOOKUP(A23,Dataset!$A$1:$Y$40,20, FALSE)</f>
        <v>160.9</v>
      </c>
      <c r="F23" s="8">
        <f>VLOOKUP(A23,Dataset!$A$1:$Y$40,22, FALSE)</f>
        <v>79.400000000000006</v>
      </c>
    </row>
    <row r="24" spans="1:6" ht="14.5" x14ac:dyDescent="0.35">
      <c r="A24" s="7" t="s">
        <v>32</v>
      </c>
      <c r="B24" s="12">
        <f>VLOOKUP(A24,Dataset!$A$1:$Y$40,7, FALSE)</f>
        <v>-1</v>
      </c>
      <c r="C24" s="12">
        <f>VLOOKUP(A24,Dataset!$A$1:$Y$40,14, FALSE)</f>
        <v>-1</v>
      </c>
      <c r="D24" s="12">
        <f>VLOOKUP(A24,Dataset!$A$1:$Y$40,18, FALSE)</f>
        <v>-1</v>
      </c>
      <c r="E24" s="12">
        <f>VLOOKUP(A24,Dataset!$A$1:$Y$40,20, FALSE)</f>
        <v>-1</v>
      </c>
      <c r="F24" s="8">
        <f>VLOOKUP(A24,Dataset!$A$1:$Y$40,22, FALSE)</f>
        <v>-1</v>
      </c>
    </row>
    <row r="25" spans="1:6" ht="14.5" x14ac:dyDescent="0.35">
      <c r="A25" s="7" t="s">
        <v>34</v>
      </c>
      <c r="B25" s="12">
        <f>VLOOKUP(A25,Dataset!$A$1:$Y$40,7, FALSE)</f>
        <v>43.3</v>
      </c>
      <c r="C25" s="12">
        <f>VLOOKUP(A25,Dataset!$A$1:$Y$40,14, FALSE)</f>
        <v>128.6</v>
      </c>
      <c r="D25" s="12">
        <f>VLOOKUP(A25,Dataset!$A$1:$Y$40,18, FALSE)</f>
        <v>79.400000000000006</v>
      </c>
      <c r="E25" s="12">
        <f>VLOOKUP(A25,Dataset!$A$1:$Y$40,20, FALSE)</f>
        <v>160.9</v>
      </c>
      <c r="F25" s="8">
        <f>VLOOKUP(A25,Dataset!$A$1:$Y$40,22, FALSE)</f>
        <v>79.400000000000006</v>
      </c>
    </row>
    <row r="26" spans="1:6" ht="14.5" x14ac:dyDescent="0.35">
      <c r="A26" s="7" t="s">
        <v>37</v>
      </c>
      <c r="B26" s="12">
        <f>VLOOKUP(A26,Dataset!$A$1:$Y$40,7, FALSE)</f>
        <v>49.1</v>
      </c>
      <c r="C26" s="12">
        <f>VLOOKUP(A26,Dataset!$A$1:$Y$40,14, FALSE)</f>
        <v>146.80000000000001</v>
      </c>
      <c r="D26" s="12">
        <f>VLOOKUP(A26,Dataset!$A$1:$Y$40,18, FALSE)</f>
        <v>90.9</v>
      </c>
      <c r="E26" s="12">
        <f>VLOOKUP(A26,Dataset!$A$1:$Y$40,20, FALSE)</f>
        <v>183.5</v>
      </c>
      <c r="F26" s="8">
        <f>VLOOKUP(A26,Dataset!$A$1:$Y$40,22, FALSE)</f>
        <v>90.9</v>
      </c>
    </row>
    <row r="27" spans="1:6" ht="14.5" x14ac:dyDescent="0.35">
      <c r="A27" s="7" t="s">
        <v>39</v>
      </c>
      <c r="B27" s="12">
        <f>VLOOKUP(A27,Dataset!$A$1:$Y$40,7, FALSE)</f>
        <v>51.8</v>
      </c>
      <c r="C27" s="12">
        <f>VLOOKUP(A27,Dataset!$A$1:$Y$40,14, FALSE)</f>
        <v>156.4</v>
      </c>
      <c r="D27" s="12">
        <f>VLOOKUP(A27,Dataset!$A$1:$Y$40,18, FALSE)</f>
        <v>93.1</v>
      </c>
      <c r="E27" s="12">
        <f>VLOOKUP(A27,Dataset!$A$1:$Y$40,20, FALSE)</f>
        <v>188.1</v>
      </c>
      <c r="F27" s="8">
        <f>VLOOKUP(A27,Dataset!$A$1:$Y$40,22, FALSE)</f>
        <v>93.1</v>
      </c>
    </row>
    <row r="28" spans="1:6" ht="14.5" x14ac:dyDescent="0.35">
      <c r="A28" s="19" t="s">
        <v>82</v>
      </c>
      <c r="B28" s="32">
        <f>MIN(B6:B27)</f>
        <v>-1</v>
      </c>
      <c r="C28" s="32">
        <f>MIN(C6:C27)</f>
        <v>-1</v>
      </c>
      <c r="D28" s="32">
        <f>MIN(D6:D27)</f>
        <v>-1</v>
      </c>
      <c r="E28" s="32">
        <f>MIN(E6:E27)</f>
        <v>-1</v>
      </c>
      <c r="F28" s="32">
        <f>MIN(F6:F27)</f>
        <v>-1</v>
      </c>
    </row>
    <row r="29" spans="1:6" ht="14.5" x14ac:dyDescent="0.35">
      <c r="A29" s="19" t="s">
        <v>83</v>
      </c>
      <c r="B29" s="32">
        <f>MAX(B6:B27)</f>
        <v>51.8</v>
      </c>
      <c r="C29" s="32">
        <f>MAX(C6:C27)</f>
        <v>156.4</v>
      </c>
      <c r="D29" s="32">
        <f>MAX(D6:D27)</f>
        <v>93.1</v>
      </c>
      <c r="E29" s="32">
        <f>MAX(E6:E27)</f>
        <v>188.1</v>
      </c>
      <c r="F29" s="32">
        <f>MAX(F6:F27)</f>
        <v>93.1</v>
      </c>
    </row>
    <row r="30" spans="1:6" ht="14.5" x14ac:dyDescent="0.35">
      <c r="A30" s="19" t="s">
        <v>84</v>
      </c>
      <c r="B30" s="32">
        <f>AVERAGE(B6:B27)</f>
        <v>20.827272727272728</v>
      </c>
      <c r="C30" s="32">
        <f>AVERAGE(C6:C27)</f>
        <v>62.377272727272725</v>
      </c>
      <c r="D30" s="32">
        <f>AVERAGE(D6:D27)</f>
        <v>37.800000000000004</v>
      </c>
      <c r="E30" s="32">
        <f>AVERAGE(E6:E27)</f>
        <v>76.418181818181822</v>
      </c>
      <c r="F30" s="3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9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2" customFormat="1" ht="21" x14ac:dyDescent="0.5">
      <c r="A1" s="43" t="s">
        <v>56</v>
      </c>
      <c r="B1" s="42" t="s">
        <v>136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113</v>
      </c>
    </row>
    <row r="5" spans="1:10" ht="18.5" x14ac:dyDescent="0.45">
      <c r="A5" s="44" t="s">
        <v>53</v>
      </c>
      <c r="B5" s="41" t="s">
        <v>179</v>
      </c>
    </row>
    <row r="6" spans="1:10" ht="18.5" x14ac:dyDescent="0.45">
      <c r="A6" s="44" t="s">
        <v>115</v>
      </c>
      <c r="B6" s="41" t="s">
        <v>180</v>
      </c>
    </row>
    <row r="7" spans="1:10" ht="18.5" x14ac:dyDescent="0.45">
      <c r="A7" s="44"/>
      <c r="B7" s="41"/>
    </row>
    <row r="9" spans="1:10" ht="23.5" x14ac:dyDescent="0.55000000000000004">
      <c r="A9" s="18" t="s">
        <v>127</v>
      </c>
      <c r="I9" s="2"/>
      <c r="J9" s="2"/>
    </row>
    <row r="10" spans="1:10" x14ac:dyDescent="0.3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124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112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140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35">
      <c r="A18" s="7" t="s">
        <v>141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35">
      <c r="A19" s="7" t="s">
        <v>142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35">
      <c r="A20" s="7" t="s">
        <v>143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35">
      <c r="A21" s="7" t="s">
        <v>144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35">
      <c r="A22" s="7" t="s">
        <v>145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35">
      <c r="A23" s="7" t="s">
        <v>146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35">
      <c r="A24" s="7" t="s">
        <v>147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35">
      <c r="A25" s="7" t="s">
        <v>148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35">
      <c r="A26" s="7" t="s">
        <v>149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35">
      <c r="A27" s="7" t="s">
        <v>150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35">
      <c r="A28" s="7" t="s">
        <v>151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35">
      <c r="A29" s="7" t="s">
        <v>152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35">
      <c r="A30" s="7" t="s">
        <v>153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35">
      <c r="A31" s="7" t="s">
        <v>154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35">
      <c r="A32" s="7" t="s">
        <v>155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35">
      <c r="A33" s="7" t="s">
        <v>156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35">
      <c r="A34" s="7" t="s">
        <v>157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35">
      <c r="A35" s="7" t="s">
        <v>158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35">
      <c r="A36" s="7" t="s">
        <v>159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35">
      <c r="A37" s="7" t="s">
        <v>160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35">
      <c r="A38" s="7" t="s">
        <v>161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35">
      <c r="A39" s="7" t="s">
        <v>162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35">
      <c r="A40" s="7" t="s">
        <v>163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35">
      <c r="A41" s="7" t="s">
        <v>164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35">
      <c r="A42" s="7" t="s">
        <v>165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35">
      <c r="A43" s="7" t="s">
        <v>166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35">
      <c r="A44" s="7" t="s">
        <v>167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35">
      <c r="A45" s="7" t="s">
        <v>168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35">
      <c r="A46" s="7" t="s">
        <v>169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35">
      <c r="A47" s="7" t="s">
        <v>170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35">
      <c r="A48" s="7" t="s">
        <v>171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35">
      <c r="A49" s="7" t="s">
        <v>172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35">
      <c r="A50" s="7" t="s">
        <v>173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35">
      <c r="A51" s="7" t="s">
        <v>174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35">
      <c r="A52" s="7" t="s">
        <v>175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35">
      <c r="A53" s="7" t="s">
        <v>176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35">
      <c r="A54" s="7" t="s">
        <v>177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G13" sqref="G1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3" t="s">
        <v>85</v>
      </c>
      <c r="B1" s="42" t="s">
        <v>129</v>
      </c>
    </row>
    <row r="2" spans="1:3" ht="18.5" x14ac:dyDescent="0.45">
      <c r="B2" s="41" t="s">
        <v>128</v>
      </c>
    </row>
    <row r="5" spans="1:3" ht="14.5" x14ac:dyDescent="0.35">
      <c r="B5" s="1" t="s">
        <v>113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115</v>
      </c>
      <c r="B7" s="1" t="s">
        <v>181</v>
      </c>
    </row>
    <row r="10" spans="1:3" ht="23.5" x14ac:dyDescent="0.55000000000000004">
      <c r="A10" s="18" t="s">
        <v>124</v>
      </c>
    </row>
    <row r="11" spans="1:3" ht="14.5" x14ac:dyDescent="0.35">
      <c r="A11" s="33" t="s">
        <v>86</v>
      </c>
      <c r="B11" s="17" t="s">
        <v>87</v>
      </c>
      <c r="C11" s="17" t="s">
        <v>88</v>
      </c>
    </row>
    <row r="12" spans="1:3" ht="14.5" x14ac:dyDescent="0.35">
      <c r="A12" s="33">
        <v>44927</v>
      </c>
      <c r="B12" s="17" t="s">
        <v>59</v>
      </c>
      <c r="C12" s="17">
        <v>200</v>
      </c>
    </row>
    <row r="13" spans="1:3" ht="14.5" x14ac:dyDescent="0.35">
      <c r="A13" s="33">
        <v>44928</v>
      </c>
      <c r="B13" s="17" t="s">
        <v>60</v>
      </c>
      <c r="C13" s="17" t="e">
        <v>#N/A</v>
      </c>
    </row>
    <row r="14" spans="1:3" ht="14.5" x14ac:dyDescent="0.35">
      <c r="A14" s="33">
        <v>44929</v>
      </c>
      <c r="B14" s="17" t="s">
        <v>61</v>
      </c>
      <c r="C14" s="17">
        <v>50</v>
      </c>
    </row>
    <row r="15" spans="1:3" ht="14.5" x14ac:dyDescent="0.35">
      <c r="A15" s="33">
        <v>44930</v>
      </c>
      <c r="B15" s="17" t="s">
        <v>62</v>
      </c>
      <c r="C15" s="17" t="e">
        <v>#N/A</v>
      </c>
    </row>
    <row r="16" spans="1:3" ht="14.5" x14ac:dyDescent="0.35">
      <c r="A16" s="33">
        <v>44931</v>
      </c>
      <c r="B16" s="17" t="s">
        <v>63</v>
      </c>
      <c r="C16" s="17">
        <v>10</v>
      </c>
    </row>
    <row r="17" spans="1:3" ht="14.5" x14ac:dyDescent="0.35">
      <c r="A17" s="33">
        <v>44932</v>
      </c>
      <c r="B17" s="17" t="s">
        <v>116</v>
      </c>
      <c r="C17" s="17">
        <v>150</v>
      </c>
    </row>
    <row r="18" spans="1:3" ht="14.5" x14ac:dyDescent="0.35">
      <c r="A18" s="33">
        <v>44933</v>
      </c>
      <c r="B18" s="17" t="s">
        <v>117</v>
      </c>
      <c r="C18" s="17">
        <v>80</v>
      </c>
    </row>
    <row r="19" spans="1:3" ht="14.5" x14ac:dyDescent="0.35">
      <c r="A19" s="33">
        <v>44934</v>
      </c>
      <c r="B19" s="17" t="s">
        <v>118</v>
      </c>
      <c r="C19" s="17" t="e">
        <v>#N/A</v>
      </c>
    </row>
    <row r="20" spans="1:3" ht="14.5" x14ac:dyDescent="0.35">
      <c r="A20" s="33">
        <v>44935</v>
      </c>
      <c r="B20" s="17" t="s">
        <v>119</v>
      </c>
      <c r="C20" s="17">
        <v>30</v>
      </c>
    </row>
    <row r="21" spans="1:3" ht="14.5" x14ac:dyDescent="0.35">
      <c r="A21" s="33">
        <v>44936</v>
      </c>
      <c r="B21" s="17" t="s">
        <v>120</v>
      </c>
      <c r="C21" s="17" t="e">
        <v>#N/A</v>
      </c>
    </row>
    <row r="22" spans="1:3" ht="14.5" x14ac:dyDescent="0.35">
      <c r="B22" s="17" t="s">
        <v>121</v>
      </c>
      <c r="C22" s="25">
        <f>SUMIFS(C12:C21, C12:C21,"&lt;&gt;#N/A") + (COUNTIF(C12:C21, "#N/A") * 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11" style="2"/>
    <col min="3" max="3" width="17" style="2" customWidth="1"/>
    <col min="4" max="4" width="13.296875" style="2" customWidth="1"/>
    <col min="5" max="16384" width="11" style="2"/>
  </cols>
  <sheetData>
    <row r="1" spans="1:14" ht="21" x14ac:dyDescent="0.5">
      <c r="A1" s="43" t="s">
        <v>98</v>
      </c>
      <c r="B1" s="42" t="s">
        <v>137</v>
      </c>
    </row>
    <row r="3" spans="1:14" ht="14.5" x14ac:dyDescent="0.35">
      <c r="B3" s="1" t="s">
        <v>113</v>
      </c>
    </row>
    <row r="4" spans="1:14" ht="18.5" x14ac:dyDescent="0.45">
      <c r="A4" s="44" t="s">
        <v>53</v>
      </c>
      <c r="B4" s="1"/>
      <c r="C4" s="2" t="s">
        <v>186</v>
      </c>
    </row>
    <row r="5" spans="1:14" ht="18.5" x14ac:dyDescent="0.45">
      <c r="A5" s="44" t="s">
        <v>115</v>
      </c>
      <c r="B5" s="1"/>
      <c r="C5" s="2" t="s">
        <v>187</v>
      </c>
    </row>
    <row r="6" spans="1:14" ht="14.5" x14ac:dyDescent="0.35">
      <c r="A6" s="3"/>
      <c r="B6" s="1"/>
    </row>
    <row r="8" spans="1:14" ht="23.5" x14ac:dyDescent="0.55000000000000004">
      <c r="A8" s="18" t="s">
        <v>124</v>
      </c>
      <c r="M8" s="18" t="s">
        <v>125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130</v>
      </c>
    </row>
    <row r="22" spans="1:14" ht="14.5" x14ac:dyDescent="0.35">
      <c r="A22" s="14" t="s">
        <v>100</v>
      </c>
      <c r="B22" s="17" t="s">
        <v>101</v>
      </c>
      <c r="C22" s="16" t="s">
        <v>182</v>
      </c>
      <c r="D22" s="2" t="s">
        <v>183</v>
      </c>
    </row>
    <row r="23" spans="1:14" ht="14.5" x14ac:dyDescent="0.35">
      <c r="A23" s="7">
        <v>10100</v>
      </c>
      <c r="B23" s="12">
        <v>10102</v>
      </c>
      <c r="C23" s="45"/>
      <c r="D23" s="2">
        <f>VLOOKUP(VLOOKUP(B23,$M$9:$N$18,2,0),$A$9:$J$18,2,0)</f>
        <v>95</v>
      </c>
    </row>
    <row r="24" spans="1:14" ht="14.5" x14ac:dyDescent="0.35">
      <c r="A24" s="7">
        <v>10100</v>
      </c>
      <c r="B24" s="12">
        <v>10104</v>
      </c>
      <c r="C24" s="45">
        <f t="shared" ref="C24:C35" si="0">VLOOKUP(VLOOKUP(A24,$M$9:$N$18,2,0),$A$9:$J$18,2,0)</f>
        <v>-1</v>
      </c>
      <c r="D24" s="2">
        <f t="shared" ref="D24:D35" si="1">VLOOKUP(VLOOKUP(B24,$M$9:$N$18,2,0),$A$9:$J$18,2,0)</f>
        <v>-1</v>
      </c>
    </row>
    <row r="25" spans="1:14" ht="14.5" x14ac:dyDescent="0.35">
      <c r="A25" s="7">
        <v>10108</v>
      </c>
      <c r="B25" s="12">
        <v>10102</v>
      </c>
      <c r="C25" s="45">
        <f t="shared" si="0"/>
        <v>255</v>
      </c>
      <c r="D25" s="2">
        <f t="shared" si="1"/>
        <v>95</v>
      </c>
    </row>
    <row r="26" spans="1:14" ht="14.5" x14ac:dyDescent="0.35">
      <c r="A26" s="7">
        <v>10100</v>
      </c>
      <c r="B26" s="12">
        <v>10106</v>
      </c>
      <c r="C26" s="45">
        <f t="shared" si="0"/>
        <v>-1</v>
      </c>
      <c r="D26" s="2">
        <f t="shared" si="1"/>
        <v>185</v>
      </c>
    </row>
    <row r="27" spans="1:14" ht="14.5" x14ac:dyDescent="0.35">
      <c r="A27" s="7">
        <v>10108</v>
      </c>
      <c r="B27" s="12">
        <v>10110</v>
      </c>
      <c r="C27" s="45">
        <f t="shared" si="0"/>
        <v>255</v>
      </c>
      <c r="D27" s="2">
        <f t="shared" si="1"/>
        <v>305</v>
      </c>
    </row>
    <row r="28" spans="1:14" ht="14.5" x14ac:dyDescent="0.35">
      <c r="A28" s="7">
        <v>10102</v>
      </c>
      <c r="B28" s="12">
        <v>10104</v>
      </c>
      <c r="C28" s="45">
        <f t="shared" si="0"/>
        <v>95</v>
      </c>
      <c r="D28" s="2">
        <f t="shared" si="1"/>
        <v>-1</v>
      </c>
    </row>
    <row r="29" spans="1:14" ht="14.5" x14ac:dyDescent="0.35">
      <c r="A29" s="7">
        <v>10106</v>
      </c>
      <c r="B29" s="12">
        <v>10108</v>
      </c>
      <c r="C29" s="45">
        <f t="shared" si="0"/>
        <v>185</v>
      </c>
      <c r="D29" s="2">
        <f t="shared" si="1"/>
        <v>255</v>
      </c>
    </row>
    <row r="30" spans="1:14" ht="14.5" x14ac:dyDescent="0.35">
      <c r="A30" s="7">
        <v>10102</v>
      </c>
      <c r="B30" s="12">
        <v>10106</v>
      </c>
      <c r="C30" s="45">
        <f t="shared" si="0"/>
        <v>95</v>
      </c>
      <c r="D30" s="2">
        <f t="shared" si="1"/>
        <v>185</v>
      </c>
    </row>
    <row r="31" spans="1:14" ht="14.5" x14ac:dyDescent="0.35">
      <c r="A31" s="7">
        <v>10110</v>
      </c>
      <c r="B31" s="12">
        <v>10114</v>
      </c>
      <c r="C31" s="45">
        <f t="shared" si="0"/>
        <v>305</v>
      </c>
      <c r="D31" s="2">
        <f t="shared" si="1"/>
        <v>480</v>
      </c>
    </row>
    <row r="32" spans="1:14" ht="14.5" x14ac:dyDescent="0.35">
      <c r="A32" s="7">
        <v>10104</v>
      </c>
      <c r="B32" s="12">
        <v>10106</v>
      </c>
      <c r="C32" s="45">
        <f t="shared" si="0"/>
        <v>-1</v>
      </c>
      <c r="D32" s="2">
        <f t="shared" si="1"/>
        <v>185</v>
      </c>
    </row>
    <row r="33" spans="1:4" ht="14.5" x14ac:dyDescent="0.35">
      <c r="A33" s="7">
        <v>10110</v>
      </c>
      <c r="B33" s="12">
        <v>10112</v>
      </c>
      <c r="C33" s="45">
        <f t="shared" si="0"/>
        <v>305</v>
      </c>
      <c r="D33" s="2">
        <f t="shared" si="1"/>
        <v>415</v>
      </c>
    </row>
    <row r="34" spans="1:4" ht="14.5" x14ac:dyDescent="0.35">
      <c r="A34" s="7">
        <v>10100</v>
      </c>
      <c r="B34" s="12">
        <v>10114</v>
      </c>
      <c r="C34" s="45">
        <f t="shared" si="0"/>
        <v>-1</v>
      </c>
      <c r="D34" s="2">
        <f t="shared" si="1"/>
        <v>480</v>
      </c>
    </row>
    <row r="35" spans="1:4" ht="14.5" x14ac:dyDescent="0.35">
      <c r="A35" s="9">
        <v>10112</v>
      </c>
      <c r="B35" s="13">
        <v>10116</v>
      </c>
      <c r="C35" s="45">
        <f t="shared" si="0"/>
        <v>415</v>
      </c>
      <c r="D35" s="2">
        <f t="shared" si="1"/>
        <v>525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juli juli</cp:lastModifiedBy>
  <dcterms:created xsi:type="dcterms:W3CDTF">2015-02-10T17:33:11Z</dcterms:created>
  <dcterms:modified xsi:type="dcterms:W3CDTF">2023-12-10T08:49:25Z</dcterms:modified>
</cp:coreProperties>
</file>